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tart here" sheetId="1" r:id="rId1"/>
    <sheet name="13-Week Cash Map" sheetId="2" r:id="rId2"/>
    <sheet name="About" sheetId="3" r:id="rId3"/>
  </sheets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&quot;%&quot;"/>
    <numFmt numFmtId="166" formatCode="0.0&quot; mo&quot;"/>
    <numFmt numFmtId="167" formatCode="#,##0"/>
  </numFmts>
  <fonts count="6">
    <font>
      <sz val="11"/>
      <name val="Aptos"/>
    </font>
    <font>
      <b/>
      <sz val="11"/>
      <color rgb="FFFFFFFF"/>
      <name val="Aptos"/>
    </font>
    <font>
      <b/>
      <sz val="22"/>
      <color rgb="FF0B0D12"/>
      <name val="Aptos Display"/>
    </font>
    <font>
      <b/>
      <sz val="13"/>
      <color rgb="FF0B0D12"/>
      <name val="Aptos"/>
    </font>
    <font>
      <sz val="10"/>
      <color rgb="FF6B6253"/>
      <name val="Aptos"/>
    </font>
    <font>
      <b/>
      <sz val="11"/>
      <color rgb="FFC9A24A"/>
      <name val="Aptos"/>
    </font>
  </fonts>
  <fills count="7">
    <fill>
      <patternFill patternType="none"/>
    </fill>
    <fill>
      <patternFill patternType="gray125"/>
    </fill>
    <fill>
      <patternFill patternType="solid">
        <fgColor rgb="FF0B0D12"/>
        <bgColor indexed="64"/>
      </patternFill>
    </fill>
    <fill>
      <patternFill patternType="solid">
        <fgColor rgb="FFF7F1DF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FDFBF6"/>
        <bgColor indexed="64"/>
      </patternFill>
    </fill>
    <fill>
      <patternFill patternType="solid">
        <fgColor rgb="FFFBF0CE"/>
        <bgColor indexed="64"/>
      </patternFill>
    </fill>
  </fills>
  <borders count="3">
    <border>
      <left/>
      <right/>
      <top/>
      <bottom/>
      <diagonal/>
    </border>
    <border>
      <left style="thin">
        <color rgb="FFE7D8AF"/>
      </left>
      <right style="thin">
        <color rgb="FFE7D8AF"/>
      </right>
      <top style="thin">
        <color rgb="FFE7D8AF"/>
      </top>
      <bottom style="thin">
        <color rgb="FFE7D8AF"/>
      </bottom>
      <diagonal/>
    </border>
    <border>
      <bottom style="thin">
        <color rgb="FF0B0D1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>
      <alignment horizontal="center"/>
    </xf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5" fillId="3" borderId="1" xfId="0" applyFont="1" applyFill="1" applyBorder="1"/>
    <xf numFmtId="0" fontId="1" fillId="2" borderId="0" xfId="0" applyFill="1" applyFont="1"/>
    <xf numFmtId="0" fontId="0" fillId="5" borderId="0" xfId="0" applyFill="1"/>
    <xf numFmtId="164" fontId="0" fillId="0" borderId="0" xfId="0" applyNumberFormat="1"/>
    <xf numFmtId="164" fontId="3" fillId="3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64" fontId="0" fillId="6" borderId="1" xfId="0" applyNumberFormat="1" applyFill="1" applyBorder="1"/>
    <xf numFmtId="167" fontId="0" fillId="6" borderId="1" xfId="0" applyNumberFormat="1" applyFill="1" applyBorder="1"/>
    <xf numFmtId="165" fontId="0" fillId="6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30" customWidth="1"/>
    <col min="3" max="3" width="30" customWidth="1"/>
  </cols>
  <sheetData>
    <row r="1">
      <c r="A1" s="1" t="inlineStr">
        <is>
          <t>GF</t>
        </is>
      </c>
      <c r="B1" s="1" t="inlineStr">
        <is>
          <t>GOLDFIN DESK</t>
        </is>
      </c>
    </row>
    <row r="2">
      <c r="A2" s="2" t="inlineStr">
        <is>
          <t>13-Week Cash Map</t>
        </is>
      </c>
    </row>
    <row r="3">
      <c r="A3" s="13" t="inlineStr">
        <is>
          <t>A fill-in-yourself planning workbook. Type your numbers in the shaded gold cells and every result recalculates.</t>
        </is>
      </c>
    </row>
    <row r="4"/>
    <row r="5">
      <c r="A5" s="5" t="inlineStr">
        <is>
          <t>How it works</t>
        </is>
      </c>
    </row>
    <row r="6">
      <c r="A6" s="13" t="inlineStr">
        <is>
          <t>1. Open a template tab below.</t>
        </is>
      </c>
    </row>
    <row r="7">
      <c r="A7" s="13" t="inlineStr">
        <is>
          <t>2. Type your own figures into the shaded gold cells.</t>
        </is>
      </c>
    </row>
    <row r="8">
      <c r="A8" s="13" t="inlineStr">
        <is>
          <t>3. The grey result cells recalculate instantly.</t>
        </is>
      </c>
    </row>
    <row r="9"/>
    <row r="10">
      <c r="A10" s="5" t="inlineStr">
        <is>
          <t>Sample figures</t>
        </is>
      </c>
    </row>
    <row r="11">
      <c r="A11" s="7" t="inlineStr">
        <is>
          <t>Cash on hand</t>
        </is>
      </c>
      <c r="B11" s="8">
        <v>268000</v>
      </c>
    </row>
    <row r="12">
      <c r="A12" s="7" t="inlineStr">
        <is>
          <t>Money in</t>
        </is>
      </c>
      <c r="B12" s="8">
        <v>96400</v>
      </c>
    </row>
    <row r="13">
      <c r="A13" s="7" t="inlineStr">
        <is>
          <t>Money out</t>
        </is>
      </c>
      <c r="B13" s="8">
        <v>71900</v>
      </c>
    </row>
    <row r="14"/>
    <row r="15">
      <c r="A15" s="13" t="inlineStr">
        <is>
          <t>Prefer it filled from your bank every month? That is GoldFin Reports - goldfindesk.com/pricing</t>
        </is>
      </c>
    </row>
    <row r="16">
      <c r="A16" s="13" t="inlineStr">
        <is>
          <t>A planning artifact, not tax, accounting, credit, legal, or investment advice.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6" customWidth="1"/>
    <col min="2" max="2" width="18" customWidth="1"/>
  </cols>
  <sheetData>
    <row r="1">
      <c r="A1" s="1" t="inlineStr">
        <is>
          <t>GOLDFIN DESK</t>
        </is>
      </c>
      <c r="B1" s="4" t="inlineStr">
        <is>
          <t>13-Week Cash Map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How to use: type your own numbers into the shaded gold cells. Every grey result cell recalculates automatically.</t>
        </is>
      </c>
    </row>
    <row r="5"/>
    <row r="6">
      <c r="A6" s="5" t="inlineStr">
        <is>
          <t>Your inputs</t>
        </is>
      </c>
    </row>
    <row r="7">
      <c r="A7" s="7" t="inlineStr">
        <is>
          <t>Starting cash</t>
        </is>
      </c>
      <c r="B7" s="14">
        <v>268000</v>
      </c>
    </row>
    <row r="8">
      <c r="A8" s="7" t="inlineStr">
        <is>
          <t>Weekly money in</t>
        </is>
      </c>
      <c r="B8" s="14">
        <v>22493</v>
      </c>
    </row>
    <row r="9">
      <c r="A9" s="7" t="inlineStr">
        <is>
          <t>Weekly money out</t>
        </is>
      </c>
      <c r="B9" s="14">
        <v>16777</v>
      </c>
    </row>
    <row r="10"/>
    <row r="11">
      <c r="A11" s="5" t="inlineStr">
        <is>
          <t>Results</t>
        </is>
      </c>
    </row>
    <row r="12">
      <c r="A12" s="7" t="inlineStr">
        <is>
          <t>Weekly net cash</t>
        </is>
      </c>
      <c r="B12" s="9">
        <f>$B$8-$B$9</f>
        <v>5716</v>
      </c>
    </row>
    <row r="13">
      <c r="A13" s="5" t="inlineStr">
        <is>
          <t>13-week cash path</t>
        </is>
      </c>
    </row>
    <row r="14">
      <c r="A14" s="7" t="inlineStr">
        <is>
          <t>Projected cash - week 1</t>
        </is>
      </c>
      <c r="B14" s="8">
        <f>$B$7+($B$8-$B$9)*1</f>
        <v>273716</v>
      </c>
    </row>
    <row r="15">
      <c r="A15" s="7" t="inlineStr">
        <is>
          <t>Projected cash - week 2</t>
        </is>
      </c>
      <c r="B15" s="8">
        <f>$B$7+($B$8-$B$9)*2</f>
        <v>279432</v>
      </c>
    </row>
    <row r="16">
      <c r="A16" s="7" t="inlineStr">
        <is>
          <t>Projected cash - week 3</t>
        </is>
      </c>
      <c r="B16" s="8">
        <f>$B$7+($B$8-$B$9)*3</f>
        <v>285148</v>
      </c>
    </row>
    <row r="17">
      <c r="A17" s="7" t="inlineStr">
        <is>
          <t>Projected cash - week 4</t>
        </is>
      </c>
      <c r="B17" s="8">
        <f>$B$7+($B$8-$B$9)*4</f>
        <v>290864</v>
      </c>
    </row>
    <row r="18">
      <c r="A18" s="7" t="inlineStr">
        <is>
          <t>Projected cash - week 5</t>
        </is>
      </c>
      <c r="B18" s="8">
        <f>$B$7+($B$8-$B$9)*5</f>
        <v>296580</v>
      </c>
    </row>
    <row r="19">
      <c r="A19" s="7" t="inlineStr">
        <is>
          <t>Projected cash - week 6</t>
        </is>
      </c>
      <c r="B19" s="8">
        <f>$B$7+($B$8-$B$9)*6</f>
        <v>302296</v>
      </c>
    </row>
    <row r="20">
      <c r="A20" s="7" t="inlineStr">
        <is>
          <t>Projected cash - week 7</t>
        </is>
      </c>
      <c r="B20" s="8">
        <f>$B$7+($B$8-$B$9)*7</f>
        <v>308012</v>
      </c>
    </row>
    <row r="21">
      <c r="A21" s="7" t="inlineStr">
        <is>
          <t>Projected cash - week 8</t>
        </is>
      </c>
      <c r="B21" s="8">
        <f>$B$7+($B$8-$B$9)*8</f>
        <v>313728</v>
      </c>
    </row>
    <row r="22">
      <c r="A22" s="7" t="inlineStr">
        <is>
          <t>Projected cash - week 9</t>
        </is>
      </c>
      <c r="B22" s="8">
        <f>$B$7+($B$8-$B$9)*9</f>
        <v>319444</v>
      </c>
    </row>
    <row r="23">
      <c r="A23" s="7" t="inlineStr">
        <is>
          <t>Projected cash - week 10</t>
        </is>
      </c>
      <c r="B23" s="8">
        <f>$B$7+($B$8-$B$9)*10</f>
        <v>325160</v>
      </c>
    </row>
    <row r="24">
      <c r="A24" s="7" t="inlineStr">
        <is>
          <t>Projected cash - week 11</t>
        </is>
      </c>
      <c r="B24" s="8">
        <f>$B$7+($B$8-$B$9)*11</f>
        <v>330876</v>
      </c>
    </row>
    <row r="25">
      <c r="A25" s="7" t="inlineStr">
        <is>
          <t>Projected cash - week 12</t>
        </is>
      </c>
      <c r="B25" s="8">
        <f>$B$7+($B$8-$B$9)*12</f>
        <v>336592</v>
      </c>
    </row>
    <row r="26">
      <c r="A26" s="7" t="inlineStr">
        <is>
          <t>Projected cash - week 13</t>
        </is>
      </c>
      <c r="B26" s="8">
        <f>$B$7+($B$8-$B$9)*13</f>
        <v>342308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90" customWidth="1"/>
  </cols>
  <sheetData>
    <row r="1">
      <c r="A1" s="1" t="inlineStr">
        <is>
          <t>GOLDFIN DESK</t>
        </is>
      </c>
      <c r="B1" s="4" t="inlineStr">
        <is>
          <t>About this workbook</t>
        </is>
      </c>
    </row>
    <row r="2"/>
    <row r="3">
      <c r="A3" s="7" t="inlineStr">
        <is>
          <t>Shaded gold cells</t>
        </is>
      </c>
      <c r="B3" s="13" t="inlineStr">
        <is>
          <t>Your inputs. Type over the sample numbers with your own.</t>
        </is>
      </c>
    </row>
    <row r="4">
      <c r="A4" s="7" t="inlineStr">
        <is>
          <t>Grey result cells</t>
        </is>
      </c>
      <c r="B4" s="13" t="inlineStr">
        <is>
          <t>Formulas that recalculate automatically from your inputs.</t>
        </is>
      </c>
    </row>
    <row r="5">
      <c r="A5" s="7" t="inlineStr">
        <is>
          <t>Self-contained</t>
        </is>
      </c>
      <c r="B5" s="13" t="inlineStr">
        <is>
          <t>Everything computes from the numbers you enter - no bank connection needed.</t>
        </is>
      </c>
    </row>
    <row r="6">
      <c r="A6" s="7" t="inlineStr">
        <is>
          <t>Not advice</t>
        </is>
      </c>
      <c r="B6" s="13" t="inlineStr">
        <is>
          <t>A planning aid, not tax, accounting, credit, legal, or investment advice.</t>
        </is>
      </c>
    </row>
    <row r="7">
      <c r="A7" s="7" t="inlineStr">
        <is>
          <t>Done for you</t>
        </is>
      </c>
      <c r="B7" s="13" t="inlineStr">
        <is>
          <t>GoldFin Reports fills these from your real bank activity every month, with a plain-English briefing. See goldfindesk.com/pricing.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GoldFin Desk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GoldFin Desk Template Vault</dc:title>
  <dc:creator>GoldFin Desk</dc:creator>
  <cp:lastModifiedBy>GoldFin Desk</cp:lastModifiedBy>
  <dcterms:created xsi:type="dcterms:W3CDTF">2026-07-10T00:00:00Z</dcterms:created>
  <dcterms:modified xsi:type="dcterms:W3CDTF">2026-07-10T00:00:00Z</dcterms:modified>
</cp:coreProperties>
</file>