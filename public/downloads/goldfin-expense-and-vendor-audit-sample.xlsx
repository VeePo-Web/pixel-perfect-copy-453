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workbookPr/>
  <sheets>
    <sheet name="Start here" sheetId="1" r:id="rId1"/>
    <sheet name="Vendor Audit" sheetId="2" r:id="rId2"/>
    <sheet name="About" sheetId="3" r:id="rId3"/>
  </sheets>
</workbook>
</file>

<file path=xl/styles.xml><?xml version="1.0" encoding="utf-8"?>
<styleSheet xmlns="http://schemas.openxmlformats.org/spreadsheetml/2006/main">
  <numFmts count="4">
    <numFmt numFmtId="164" formatCode="$#,##0;[Red]($#,##0);-"/>
    <numFmt numFmtId="165" formatCode="0.0&quot;%&quot;"/>
    <numFmt numFmtId="166" formatCode="0.0&quot; mo&quot;"/>
    <numFmt numFmtId="167" formatCode="#,##0"/>
  </numFmts>
  <fonts count="6">
    <font>
      <sz val="11"/>
      <name val="Aptos"/>
    </font>
    <font>
      <b/>
      <sz val="11"/>
      <color rgb="FFFFFFFF"/>
      <name val="Aptos"/>
    </font>
    <font>
      <b/>
      <sz val="22"/>
      <color rgb="FF0B0D12"/>
      <name val="Aptos Display"/>
    </font>
    <font>
      <b/>
      <sz val="13"/>
      <color rgb="FF0B0D12"/>
      <name val="Aptos"/>
    </font>
    <font>
      <sz val="10"/>
      <color rgb="FF6B6253"/>
      <name val="Aptos"/>
    </font>
    <font>
      <b/>
      <sz val="11"/>
      <color rgb="FFC9A24A"/>
      <name val="Aptos"/>
    </font>
  </fonts>
  <fills count="7">
    <fill>
      <patternFill patternType="none"/>
    </fill>
    <fill>
      <patternFill patternType="gray125"/>
    </fill>
    <fill>
      <patternFill patternType="solid">
        <fgColor rgb="FF0B0D12"/>
        <bgColor indexed="64"/>
      </patternFill>
    </fill>
    <fill>
      <patternFill patternType="solid">
        <fgColor rgb="FFF7F1DF"/>
        <bgColor indexed="64"/>
      </patternFill>
    </fill>
    <fill>
      <patternFill patternType="solid">
        <fgColor rgb="FFC9A24A"/>
        <bgColor indexed="64"/>
      </patternFill>
    </fill>
    <fill>
      <patternFill patternType="solid">
        <fgColor rgb="FFFDFBF6"/>
        <bgColor indexed="64"/>
      </patternFill>
    </fill>
    <fill>
      <patternFill patternType="solid">
        <fgColor rgb="FFFBF0CE"/>
        <bgColor indexed="64"/>
      </patternFill>
    </fill>
  </fills>
  <borders count="3">
    <border>
      <left/>
      <right/>
      <top/>
      <bottom/>
      <diagonal/>
    </border>
    <border>
      <left style="thin">
        <color rgb="FFE7D8AF"/>
      </left>
      <right style="thin">
        <color rgb="FFE7D8AF"/>
      </right>
      <top style="thin">
        <color rgb="FFE7D8AF"/>
      </top>
      <bottom style="thin">
        <color rgb="FFE7D8AF"/>
      </bottom>
      <diagonal/>
    </border>
    <border>
      <bottom style="thin">
        <color rgb="FF0B0D12"/>
      </bottom>
    </border>
  </borders>
  <cellStyleXfs count="1">
    <xf numFmtId="0" fontId="0" fillId="0" borderId="0"/>
  </cellStyleXfs>
  <cellXfs count="17">
    <xf numFmtId="0" fontId="0" fillId="0" borderId="0" xfId="0"/>
    <xf numFmtId="0" fontId="1" fillId="2" borderId="0" xfId="0" applyFill="1" applyFont="1">
      <alignment horizontal="center"/>
    </xf>
    <xf numFmtId="0" fontId="2" fillId="0" borderId="0" xfId="0" applyFont="1"/>
    <xf numFmtId="0" fontId="4" fillId="0" borderId="0" xfId="0" applyFont="1"/>
    <xf numFmtId="0" fontId="3" fillId="0" borderId="2" xfId="0" applyFont="1" applyBorder="1"/>
    <xf numFmtId="0" fontId="5" fillId="3" borderId="1" xfId="0" applyFont="1" applyFill="1" applyBorder="1"/>
    <xf numFmtId="0" fontId="1" fillId="2" borderId="0" xfId="0" applyFill="1" applyFont="1"/>
    <xf numFmtId="0" fontId="0" fillId="5" borderId="0" xfId="0" applyFill="1"/>
    <xf numFmtId="164" fontId="0" fillId="0" borderId="0" xfId="0" applyNumberFormat="1"/>
    <xf numFmtId="164" fontId="3" fillId="3" borderId="1" xfId="0" applyNumberFormat="1" applyFont="1" applyFill="1" applyBorder="1"/>
    <xf numFmtId="165" fontId="0" fillId="0" borderId="0" xfId="0" applyNumberFormat="1"/>
    <xf numFmtId="166" fontId="0" fillId="0" borderId="0" xfId="0" applyNumberFormat="1"/>
    <xf numFmtId="167" fontId="0" fillId="0" borderId="0" xfId="0" applyNumberFormat="1"/>
    <xf numFmtId="0" fontId="4" fillId="0" borderId="0" xfId="0" applyFont="1"/>
    <xf numFmtId="164" fontId="0" fillId="6" borderId="1" xfId="0" applyNumberFormat="1" applyFill="1" applyBorder="1"/>
    <xf numFmtId="167" fontId="0" fillId="6" borderId="1" xfId="0" applyNumberFormat="1" applyFill="1" applyBorder="1"/>
    <xf numFmtId="165" fontId="0" fillId="6" borderId="1" xfId="0" applyNumberFormat="1" applyFill="1" applyBorder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styles" Target="styles.xml"/></Relationships>
</file>

<file path=xl/worksheets/sheet1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30" customWidth="1"/>
    <col min="3" max="3" width="30" customWidth="1"/>
  </cols>
  <sheetData>
    <row r="1">
      <c r="A1" s="1" t="inlineStr">
        <is>
          <t>GF</t>
        </is>
      </c>
      <c r="B1" s="1" t="inlineStr">
        <is>
          <t>GOLDFIN DESK</t>
        </is>
      </c>
    </row>
    <row r="2">
      <c r="A2" s="2" t="inlineStr">
        <is>
          <t>Expense &amp; Vendor Audit</t>
        </is>
      </c>
    </row>
    <row r="3">
      <c r="A3" s="13" t="inlineStr">
        <is>
          <t>A fill-in-yourself planning workbook. Type your numbers in the shaded gold cells and every result recalculates.</t>
        </is>
      </c>
    </row>
    <row r="4"/>
    <row r="5">
      <c r="A5" s="5" t="inlineStr">
        <is>
          <t>How it works</t>
        </is>
      </c>
    </row>
    <row r="6">
      <c r="A6" s="13" t="inlineStr">
        <is>
          <t>1. Open a template tab below.</t>
        </is>
      </c>
    </row>
    <row r="7">
      <c r="A7" s="13" t="inlineStr">
        <is>
          <t>2. Type your own figures into the shaded gold cells.</t>
        </is>
      </c>
    </row>
    <row r="8">
      <c r="A8" s="13" t="inlineStr">
        <is>
          <t>3. The grey result cells recalculate instantly.</t>
        </is>
      </c>
    </row>
    <row r="9"/>
    <row r="10">
      <c r="A10" s="5" t="inlineStr">
        <is>
          <t>Sample figures (pre-filled - type over them)</t>
        </is>
      </c>
    </row>
    <row r="11">
      <c r="A11" s="7" t="inlineStr">
        <is>
          <t>Cash on hand</t>
        </is>
      </c>
      <c r="B11" s="8">
        <v>268000</v>
      </c>
    </row>
    <row r="12">
      <c r="A12" s="7" t="inlineStr">
        <is>
          <t>Money in</t>
        </is>
      </c>
      <c r="B12" s="8">
        <v>96400</v>
      </c>
    </row>
    <row r="13">
      <c r="A13" s="7" t="inlineStr">
        <is>
          <t>Money out</t>
        </is>
      </c>
      <c r="B13" s="8">
        <v>71900</v>
      </c>
    </row>
    <row r="14">
      <c r="A14" s="7" t="inlineStr">
        <is>
          <t>Profit this month</t>
        </is>
      </c>
      <c r="B14" s="8">
        <v>24500</v>
      </c>
    </row>
    <row r="15">
      <c r="A15" s="7" t="inlineStr">
        <is>
          <t>Profit margin</t>
        </is>
      </c>
      <c r="B15" s="10">
        <v>25.41</v>
      </c>
    </row>
    <row r="16"/>
    <row r="17">
      <c r="A17" s="13" t="inlineStr">
        <is>
          <t>Prefer it filled from your bank every month? That is GoldFin Reports - goldfindesk.com/pricing</t>
        </is>
      </c>
    </row>
    <row r="18">
      <c r="A18" s="13" t="inlineStr">
        <is>
          <t>A planning artifact, not tax, accounting, credit, legal, or investment advice.</t>
        </is>
      </c>
    </row>
  </sheetData>
</worksheet>
</file>

<file path=xl/worksheets/sheet2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4" customWidth="1"/>
    <col min="2" max="2" width="14" customWidth="1"/>
    <col min="3" max="3" width="14" customWidth="1"/>
    <col min="4" max="4" width="14" customWidth="1"/>
    <col min="5" max="5" width="20" customWidth="1"/>
  </cols>
  <sheetData>
    <row r="1">
      <c r="A1" s="1" t="inlineStr">
        <is>
          <t>GOLDFIN DESK</t>
        </is>
      </c>
      <c r="B1" s="4" t="inlineStr">
        <is>
          <t>Expense &amp; Vendor Audit</t>
        </is>
      </c>
    </row>
    <row r="2">
      <c r="A2" s="3" t="inlineStr">
        <is>
          <t>Period</t>
        </is>
      </c>
      <c r="B2" s="13" t="inlineStr">
        <is>
          <t>2026-05-01 to 2026-05-31</t>
        </is>
      </c>
    </row>
    <row r="3"/>
    <row r="4">
      <c r="A4" s="3" t="inlineStr">
        <is>
          <t>List each recurring vendor, its monthly cost, and whether to Keep, Review, or Cut it. Totals and savings update as you edit.</t>
        </is>
      </c>
    </row>
    <row r="5"/>
    <row r="6">
      <c r="A6" s="5" t="inlineStr">
        <is>
          <t>Recurring vendors (edit these)</t>
        </is>
      </c>
    </row>
    <row r="7">
      <c r="A7" s="6" t="inlineStr">
        <is>
          <t>Vendor</t>
        </is>
      </c>
      <c r="B7" s="6" t="inlineStr">
        <is>
          <t>Monthly</t>
        </is>
      </c>
      <c r="C7" s="6" t="inlineStr">
        <is>
          <t>Annual</t>
        </is>
      </c>
      <c r="D7" s="6" t="inlineStr">
        <is>
          <t>% of total</t>
        </is>
      </c>
      <c r="E7" s="6" t="inlineStr">
        <is>
          <t>Keep / Review / Cut</t>
        </is>
      </c>
    </row>
    <row r="8">
      <c r="A8" s="14" t="inlineStr">
        <is>
          <t>Unused SaaS seat</t>
        </is>
      </c>
      <c r="B8" s="14">
        <v>49</v>
      </c>
      <c r="C8" s="8">
        <f>B8*12</f>
        <v>588</v>
      </c>
      <c r="D8" s="10">
        <f>IF($B$14=0,0,B8/$B$14*100)</f>
        <v>10.02</v>
      </c>
      <c r="E8" s="14" t="inlineStr">
        <is>
          <t>Cut</t>
        </is>
      </c>
    </row>
    <row r="9">
      <c r="A9" s="14" t="inlineStr">
        <is>
          <t>Old design tool</t>
        </is>
      </c>
      <c r="B9" s="14">
        <v>30</v>
      </c>
      <c r="C9" s="8">
        <f>B9*12</f>
        <v>360</v>
      </c>
      <c r="D9" s="10">
        <f>IF($B$14=0,0,B9/$B$14*100)</f>
        <v>6.13</v>
      </c>
      <c r="E9" s="14" t="inlineStr">
        <is>
          <t>Cut</t>
        </is>
      </c>
    </row>
    <row r="10">
      <c r="A10" s="14" t="inlineStr">
        <is>
          <t>Cloud hosting</t>
        </is>
      </c>
      <c r="B10" s="14">
        <v>410</v>
      </c>
      <c r="C10" s="8">
        <f>B10*12</f>
        <v>4920</v>
      </c>
      <c r="D10" s="10">
        <f>IF($B$14=0,0,B10/$B$14*100)</f>
        <v>83.84</v>
      </c>
      <c r="E10" s="14" t="inlineStr">
        <is>
          <t>Keep</t>
        </is>
      </c>
    </row>
    <row r="11">
      <c r="A11" s="14" t="inlineStr">
        <is>
          <t>(add a vendor)</t>
        </is>
      </c>
      <c r="B11" s="14">
        <v>0</v>
      </c>
      <c r="C11" s="8">
        <f>B11*12</f>
        <v>0</v>
      </c>
      <c r="D11" s="10">
        <f>IF($B$14=0,0,B11/$B$14*100)</f>
        <v>0</v>
      </c>
      <c r="E11" s="14" t="inlineStr">
        <is>
          <t/>
        </is>
      </c>
    </row>
    <row r="12">
      <c r="A12" s="14" t="inlineStr">
        <is>
          <t>(add a vendor)</t>
        </is>
      </c>
      <c r="B12" s="14">
        <v>0</v>
      </c>
      <c r="C12" s="8">
        <f>B12*12</f>
        <v>0</v>
      </c>
      <c r="D12" s="10">
        <f>IF($B$14=0,0,B12/$B$14*100)</f>
        <v>0</v>
      </c>
      <c r="E12" s="14" t="inlineStr">
        <is>
          <t/>
        </is>
      </c>
    </row>
    <row r="13">
      <c r="A13" s="14" t="inlineStr">
        <is>
          <t>(add a vendor)</t>
        </is>
      </c>
      <c r="B13" s="14">
        <v>0</v>
      </c>
      <c r="C13" s="8">
        <f>B13*12</f>
        <v>0</v>
      </c>
      <c r="D13" s="10">
        <f>IF($B$14=0,0,B13/$B$14*100)</f>
        <v>0</v>
      </c>
      <c r="E13" s="14" t="inlineStr">
        <is>
          <t/>
        </is>
      </c>
    </row>
    <row r="14">
      <c r="A14" s="7" t="inlineStr">
        <is>
          <t>Total</t>
        </is>
      </c>
      <c r="B14" s="9">
        <f>SUM(B8:B13)</f>
        <v>489</v>
      </c>
      <c r="C14" s="8">
        <f>SUM(C8:C13)</f>
        <v>5868</v>
      </c>
    </row>
    <row r="15"/>
    <row r="16">
      <c r="A16" s="5" t="inlineStr">
        <is>
          <t>Your savings opportunity</t>
        </is>
      </c>
    </row>
    <row r="17">
      <c r="A17" s="7" t="inlineStr">
        <is>
          <t>Monthly cost of vendors marked Cut</t>
        </is>
      </c>
      <c r="B17" s="8">
        <f>SUMIF(E8:E13,"Cut",B8:B13)</f>
        <v>79</v>
      </c>
    </row>
    <row r="18">
      <c r="A18" s="7" t="inlineStr">
        <is>
          <t>Annual savings if you cut them</t>
        </is>
      </c>
      <c r="B18" s="8">
        <f>SUMIF(E8:E13,"Cut",C8:C13)</f>
        <v>948</v>
      </c>
    </row>
    <row r="19"/>
    <row r="20">
      <c r="A20" s="13" t="str">
        <f>IF(SUMIF(E8:E13,"Cut",C8:C13)&gt;0,"Cutting the vendors you marked Cut saves the annual amount above","Mark any vendor Cut to see the annual savings")</f>
        <v>Cutting the vendors you marked Cut saves the annual amount above</v>
      </c>
    </row>
  </sheetData>
</worksheet>
</file>

<file path=xl/worksheets/sheet3.xml><?xml version="1.0" encoding="utf-8"?>
<worksheet xmlns="http://schemas.openxmlformats.org/spreadsheetml/2006/main" xmlns:r="http://schemas.openxmlformats.org/officeDocument/2006/relationships">
  <sheetViews>
    <sheetView workbookViewId="0"/>
  </sheetViews>
  <cols>
    <col min="1" max="1" width="30" customWidth="1"/>
    <col min="2" max="2" width="90" customWidth="1"/>
  </cols>
  <sheetData>
    <row r="1">
      <c r="A1" s="1" t="inlineStr">
        <is>
          <t>GOLDFIN DESK</t>
        </is>
      </c>
      <c r="B1" s="4" t="inlineStr">
        <is>
          <t>About this workbook</t>
        </is>
      </c>
    </row>
    <row r="2"/>
    <row r="3">
      <c r="A3" s="7" t="inlineStr">
        <is>
          <t>Shaded gold cells</t>
        </is>
      </c>
      <c r="B3" s="13" t="inlineStr">
        <is>
          <t>Your inputs. Type over the sample numbers with your own.</t>
        </is>
      </c>
    </row>
    <row r="4">
      <c r="A4" s="7" t="inlineStr">
        <is>
          <t>Grey result cells</t>
        </is>
      </c>
      <c r="B4" s="13" t="inlineStr">
        <is>
          <t>Formulas that recalculate automatically from your inputs.</t>
        </is>
      </c>
    </row>
    <row r="5">
      <c r="A5" s="7" t="inlineStr">
        <is>
          <t>Self-contained</t>
        </is>
      </c>
      <c r="B5" s="13" t="inlineStr">
        <is>
          <t>Everything computes from the numbers you enter - no bank connection needed.</t>
        </is>
      </c>
    </row>
    <row r="6">
      <c r="A6" s="7" t="inlineStr">
        <is>
          <t>Not advice</t>
        </is>
      </c>
      <c r="B6" s="13" t="inlineStr">
        <is>
          <t>A planning aid, not tax, accounting, credit, legal, or investment advice.</t>
        </is>
      </c>
    </row>
    <row r="7">
      <c r="A7" s="7" t="inlineStr">
        <is>
          <t>Done for you</t>
        </is>
      </c>
      <c r="B7" s="13" t="inlineStr">
        <is>
          <t>GoldFin Reports fills these from your real bank activity every month, with a plain-English briefing. See goldfindesk.com/pricing.</t>
        </is>
      </c>
    </row>
  </sheetData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GoldFin Desk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title>GoldFin Desk Template Vault</dc:title>
  <dc:creator>GoldFin Desk</dc:creator>
  <cp:lastModifiedBy>GoldFin Desk</cp:lastModifiedBy>
  <dcterms:created xsi:type="dcterms:W3CDTF">2026-07-10T00:00:00Z</dcterms:created>
  <dcterms:modified xsi:type="dcterms:W3CDTF">2026-07-10T00:00:00Z</dcterms:modified>
</cp:coreProperties>
</file>