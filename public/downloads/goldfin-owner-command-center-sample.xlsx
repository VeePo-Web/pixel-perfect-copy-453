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Command Center" sheetId="2" r:id="rId2"/>
    <sheet name="About" sheetId="3" r:id="rId3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Owner Command Center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/>
    <row r="15">
      <c r="A15" s="13" t="inlineStr">
        <is>
          <t>Prefer it filled from your bank every month? That is GoldFin Reports - goldfindesk.com/pricing</t>
        </is>
      </c>
    </row>
    <row r="16">
      <c r="A16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Owner Command Center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Your inputs</t>
        </is>
      </c>
    </row>
    <row r="7">
      <c r="A7" s="7" t="inlineStr">
        <is>
          <t>Cash on hand</t>
        </is>
      </c>
      <c r="B7" s="14">
        <v>268000</v>
      </c>
    </row>
    <row r="8">
      <c r="A8" s="7" t="inlineStr">
        <is>
          <t>Money in (this month)</t>
        </is>
      </c>
      <c r="B8" s="14">
        <v>96400</v>
      </c>
    </row>
    <row r="9">
      <c r="A9" s="7" t="inlineStr">
        <is>
          <t>Money out (this month)</t>
        </is>
      </c>
      <c r="B9" s="14">
        <v>71900</v>
      </c>
    </row>
    <row r="10">
      <c r="A10" s="7" t="inlineStr">
        <is>
          <t>Reserve months target</t>
        </is>
      </c>
      <c r="B10" s="15">
        <v>3</v>
      </c>
    </row>
    <row r="11"/>
    <row r="12">
      <c r="A12" s="5" t="inlineStr">
        <is>
          <t>Results</t>
        </is>
      </c>
    </row>
    <row r="13">
      <c r="A13" s="7" t="inlineStr">
        <is>
          <t>Net cash</t>
        </is>
      </c>
      <c r="B13" s="9">
        <f>$B$8-$B$9</f>
        <v>24500</v>
      </c>
    </row>
    <row r="14">
      <c r="A14" s="7" t="inlineStr">
        <is>
          <t>Cash coverage (months, if income paused)</t>
        </is>
      </c>
      <c r="B14" s="11">
        <f>IF($B$9=0,0,$B$7/$B$9)</f>
        <v>3.73</v>
      </c>
    </row>
    <row r="15">
      <c r="A15" s="7" t="inlineStr">
        <is>
          <t>Reserve floor target</t>
        </is>
      </c>
      <c r="B15" s="8">
        <f>$B$9*$B$10</f>
        <v>215700</v>
      </c>
    </row>
    <row r="16">
      <c r="A16" s="7" t="inlineStr">
        <is>
          <t>Cash over / (under) reserve</t>
        </is>
      </c>
      <c r="B16" s="9">
        <f>$B$7-$B$9*$B$10</f>
        <v>52300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