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tart here" sheetId="1" r:id="rId1"/>
    <sheet name="Command Center" sheetId="2" r:id="rId2"/>
    <sheet name="13-Week Cash Map" sheetId="3" r:id="rId3"/>
    <sheet name="Cash P&amp;L" sheetId="4" r:id="rId4"/>
    <sheet name="Vendor Audit" sheetId="5" r:id="rId5"/>
    <sheet name="About" sheetId="6" r:id="rId6"/>
  </sheets>
</workbook>
</file>

<file path=xl/styles.xml><?xml version="1.0" encoding="utf-8"?>
<styleSheet xmlns="http://schemas.openxmlformats.org/spreadsheetml/2006/main">
  <numFmts count="4">
    <numFmt numFmtId="164" formatCode="$#,##0;[Red]($#,##0);-"/>
    <numFmt numFmtId="165" formatCode="0.0&quot;%&quot;"/>
    <numFmt numFmtId="166" formatCode="0.0&quot; mo&quot;"/>
    <numFmt numFmtId="167" formatCode="#,##0"/>
  </numFmts>
  <fonts count="6">
    <font>
      <sz val="11"/>
      <name val="Aptos"/>
    </font>
    <font>
      <b/>
      <sz val="11"/>
      <color rgb="FFFFFFFF"/>
      <name val="Aptos"/>
    </font>
    <font>
      <b/>
      <sz val="22"/>
      <color rgb="FF0B0D12"/>
      <name val="Aptos Display"/>
    </font>
    <font>
      <b/>
      <sz val="13"/>
      <color rgb="FF0B0D12"/>
      <name val="Aptos"/>
    </font>
    <font>
      <sz val="10"/>
      <color rgb="FF6B6253"/>
      <name val="Aptos"/>
    </font>
    <font>
      <b/>
      <sz val="11"/>
      <color rgb="FFC9A24A"/>
      <name val="Aptos"/>
    </font>
  </fonts>
  <fills count="7">
    <fill>
      <patternFill patternType="none"/>
    </fill>
    <fill>
      <patternFill patternType="gray125"/>
    </fill>
    <fill>
      <patternFill patternType="solid">
        <fgColor rgb="FF0B0D12"/>
        <bgColor indexed="64"/>
      </patternFill>
    </fill>
    <fill>
      <patternFill patternType="solid">
        <fgColor rgb="FFF7F1DF"/>
        <bgColor indexed="64"/>
      </patternFill>
    </fill>
    <fill>
      <patternFill patternType="solid">
        <fgColor rgb="FFC9A24A"/>
        <bgColor indexed="64"/>
      </patternFill>
    </fill>
    <fill>
      <patternFill patternType="solid">
        <fgColor rgb="FFFDFBF6"/>
        <bgColor indexed="64"/>
      </patternFill>
    </fill>
    <fill>
      <patternFill patternType="solid">
        <fgColor rgb="FFFBF0CE"/>
        <bgColor indexed="64"/>
      </patternFill>
    </fill>
  </fills>
  <borders count="3">
    <border>
      <left/>
      <right/>
      <top/>
      <bottom/>
      <diagonal/>
    </border>
    <border>
      <left style="thin">
        <color rgb="FFE7D8AF"/>
      </left>
      <right style="thin">
        <color rgb="FFE7D8AF"/>
      </right>
      <top style="thin">
        <color rgb="FFE7D8AF"/>
      </top>
      <bottom style="thin">
        <color rgb="FFE7D8AF"/>
      </bottom>
      <diagonal/>
    </border>
    <border>
      <bottom style="thin">
        <color rgb="FF0B0D1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ill="1" applyFont="1">
      <alignment horizontal="center"/>
    </xf>
    <xf numFmtId="0" fontId="2" fillId="0" borderId="0" xfId="0" applyFont="1"/>
    <xf numFmtId="0" fontId="4" fillId="0" borderId="0" xfId="0" applyFont="1"/>
    <xf numFmtId="0" fontId="3" fillId="0" borderId="2" xfId="0" applyFont="1" applyBorder="1"/>
    <xf numFmtId="0" fontId="5" fillId="3" borderId="1" xfId="0" applyFont="1" applyFill="1" applyBorder="1"/>
    <xf numFmtId="0" fontId="1" fillId="2" borderId="0" xfId="0" applyFill="1" applyFont="1"/>
    <xf numFmtId="0" fontId="0" fillId="5" borderId="0" xfId="0" applyFill="1"/>
    <xf numFmtId="164" fontId="0" fillId="0" borderId="0" xfId="0" applyNumberFormat="1"/>
    <xf numFmtId="164" fontId="3" fillId="3" borderId="1" xfId="0" applyNumberFormat="1" applyFont="1" applyFill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0" xfId="0" applyFont="1"/>
    <xf numFmtId="164" fontId="0" fillId="6" borderId="1" xfId="0" applyNumberFormat="1" applyFill="1" applyBorder="1"/>
    <xf numFmtId="167" fontId="0" fillId="6" borderId="1" xfId="0" applyNumberFormat="1" applyFill="1" applyBorder="1"/>
    <xf numFmtId="165" fontId="0" fillId="6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0" customWidth="1"/>
    <col min="2" max="2" width="30" customWidth="1"/>
    <col min="3" max="3" width="30" customWidth="1"/>
  </cols>
  <sheetData>
    <row r="1">
      <c r="A1" s="1" t="inlineStr">
        <is>
          <t>GF</t>
        </is>
      </c>
      <c r="B1" s="1" t="inlineStr">
        <is>
          <t>GOLDFIN DESK</t>
        </is>
      </c>
    </row>
    <row r="2">
      <c r="A2" s="2" t="inlineStr">
        <is>
          <t>GoldFin Template Vault</t>
        </is>
      </c>
    </row>
    <row r="3">
      <c r="A3" s="13" t="inlineStr">
        <is>
          <t>A fill-in-yourself planning workbook. Type your numbers in the shaded gold cells and every result recalculates.</t>
        </is>
      </c>
    </row>
    <row r="4"/>
    <row r="5">
      <c r="A5" s="5" t="inlineStr">
        <is>
          <t>How it works</t>
        </is>
      </c>
    </row>
    <row r="6">
      <c r="A6" s="13" t="inlineStr">
        <is>
          <t>1. Open a template tab below.</t>
        </is>
      </c>
    </row>
    <row r="7">
      <c r="A7" s="13" t="inlineStr">
        <is>
          <t>2. Type your own figures into the shaded gold cells.</t>
        </is>
      </c>
    </row>
    <row r="8">
      <c r="A8" s="13" t="inlineStr">
        <is>
          <t>3. The grey result cells recalculate instantly.</t>
        </is>
      </c>
    </row>
    <row r="9"/>
    <row r="10">
      <c r="A10" s="5" t="inlineStr">
        <is>
          <t>Sample figures (pre-filled - type over them)</t>
        </is>
      </c>
    </row>
    <row r="11">
      <c r="A11" s="7" t="inlineStr">
        <is>
          <t>Cash on hand</t>
        </is>
      </c>
      <c r="B11" s="8">
        <v>268000</v>
      </c>
    </row>
    <row r="12">
      <c r="A12" s="7" t="inlineStr">
        <is>
          <t>Money in</t>
        </is>
      </c>
      <c r="B12" s="8">
        <v>96400</v>
      </c>
    </row>
    <row r="13">
      <c r="A13" s="7" t="inlineStr">
        <is>
          <t>Money out</t>
        </is>
      </c>
      <c r="B13" s="8">
        <v>71900</v>
      </c>
    </row>
    <row r="14">
      <c r="A14" s="7" t="inlineStr">
        <is>
          <t>Profit this month</t>
        </is>
      </c>
      <c r="B14" s="8">
        <v>24500</v>
      </c>
    </row>
    <row r="15">
      <c r="A15" s="7" t="inlineStr">
        <is>
          <t>Profit margin</t>
        </is>
      </c>
      <c r="B15" s="10">
        <v>25.41</v>
      </c>
    </row>
    <row r="16"/>
    <row r="17">
      <c r="A17" s="13" t="inlineStr">
        <is>
          <t>Prefer it filled from your bank every month? That is GoldFin Reports - goldfindesk.com/pricing</t>
        </is>
      </c>
    </row>
    <row r="18">
      <c r="A18" s="13" t="inlineStr">
        <is>
          <t>A planning artifact, not tax, accounting, credit, legal, or investment advice.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6" customWidth="1"/>
    <col min="2" max="2" width="22" customWidth="1"/>
  </cols>
  <sheetData>
    <row r="1">
      <c r="A1" s="1" t="inlineStr">
        <is>
          <t>GOLDFIN DESK</t>
        </is>
      </c>
      <c r="B1" s="4" t="inlineStr">
        <is>
          <t>Owner Command Center</t>
        </is>
      </c>
    </row>
    <row r="2">
      <c r="A2" s="3" t="inlineStr">
        <is>
          <t>Period</t>
        </is>
      </c>
      <c r="B2" s="13" t="inlineStr">
        <is>
          <t>2026-05-01 to 2026-05-31</t>
        </is>
      </c>
    </row>
    <row r="3"/>
    <row r="4">
      <c r="A4" s="3" t="inlineStr">
        <is>
          <t>How to use: type your own numbers into the shaded gold cells. Every grey result cell recalculates automatically.</t>
        </is>
      </c>
    </row>
    <row r="5"/>
    <row r="6">
      <c r="A6" s="5" t="inlineStr">
        <is>
          <t>Your inputs</t>
        </is>
      </c>
    </row>
    <row r="7">
      <c r="A7" s="7" t="inlineStr">
        <is>
          <t>Cash on hand</t>
        </is>
      </c>
      <c r="B7" s="14">
        <v>268000</v>
      </c>
    </row>
    <row r="8">
      <c r="A8" s="7" t="inlineStr">
        <is>
          <t>Money in (this month)</t>
        </is>
      </c>
      <c r="B8" s="14">
        <v>96400</v>
      </c>
    </row>
    <row r="9">
      <c r="A9" s="7" t="inlineStr">
        <is>
          <t>Money out (this month)</t>
        </is>
      </c>
      <c r="B9" s="14">
        <v>71900</v>
      </c>
    </row>
    <row r="10">
      <c r="A10" s="7" t="inlineStr">
        <is>
          <t>Owner pay you took (this month)</t>
        </is>
      </c>
      <c r="B10" s="14">
        <v>8000</v>
      </c>
    </row>
    <row r="11">
      <c r="A11" s="7" t="inlineStr">
        <is>
          <t>Reserve months target</t>
        </is>
      </c>
      <c r="B11" s="15">
        <v>3</v>
      </c>
    </row>
    <row r="12"/>
    <row r="13">
      <c r="A13" s="5" t="inlineStr">
        <is>
          <t>Where you stand</t>
        </is>
      </c>
    </row>
    <row r="14">
      <c r="A14" s="13" t="str">
        <f>IF(($B$8-$B$9)&lt;0,"You spent more than you earned this month - act now",IF($B$7&lt;$B$9*$B$11,"Below your cash reserve - build cash before new spending",IF($B$8=0,"No income yet - enter your numbers",IF(($B$8-$B$9)/$B$8&lt;0.1,"Thin profit margin - review pricing or costs","Healthy - profitable and above your reserve"))))</f>
        <v>Healthy - profitable and above your reserve</v>
      </c>
    </row>
    <row r="15"/>
    <row r="16">
      <c r="A16" s="5" t="inlineStr">
        <is>
          <t>The numbers that matter</t>
        </is>
      </c>
    </row>
    <row r="17">
      <c r="A17" s="7" t="inlineStr">
        <is>
          <t>Profit this month (net cash)</t>
        </is>
      </c>
      <c r="B17" s="9">
        <f>$B$8-$B$9</f>
        <v>24500</v>
      </c>
    </row>
    <row r="18">
      <c r="A18" s="7" t="inlineStr">
        <is>
          <t>Profit margin</t>
        </is>
      </c>
      <c r="B18" s="10">
        <f>IF($B$8=0,0,($B$8-$B$9)/$B$8*100)</f>
        <v>25.41</v>
      </c>
    </row>
    <row r="19">
      <c r="A19" s="7" t="inlineStr">
        <is>
          <t>Owner pay as % of income</t>
        </is>
      </c>
      <c r="B19" s="10">
        <f>IF($B$8=0,0,$B$10/$B$8*100)</f>
        <v>8.3</v>
      </c>
    </row>
    <row r="20">
      <c r="A20" s="7" t="inlineStr">
        <is>
          <t>Cash coverage (months at this burn)</t>
        </is>
      </c>
      <c r="B20" s="11">
        <f>IF($B$9=0,0,$B$7/$B$9)</f>
        <v>3.73</v>
      </c>
    </row>
    <row r="21">
      <c r="A21" s="7" t="inlineStr">
        <is>
          <t>Reserve floor target</t>
        </is>
      </c>
      <c r="B21" s="8">
        <f>$B$9*$B$11</f>
        <v>215700</v>
      </c>
    </row>
    <row r="22">
      <c r="A22" s="7" t="inlineStr">
        <is>
          <t>Cash over / (under) reserve</t>
        </is>
      </c>
      <c r="B22" s="9">
        <f>$B$7-$B$9*$B$11</f>
        <v>52300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6" customWidth="1"/>
    <col min="2" max="2" width="16" customWidth="1"/>
    <col min="3" max="3" width="16" customWidth="1"/>
    <col min="4" max="4" width="18" customWidth="1"/>
  </cols>
  <sheetData>
    <row r="1">
      <c r="A1" s="1" t="inlineStr">
        <is>
          <t>GOLDFIN DESK</t>
        </is>
      </c>
      <c r="B1" s="4" t="inlineStr">
        <is>
          <t>13-Week Cash Map</t>
        </is>
      </c>
    </row>
    <row r="2">
      <c r="A2" s="3" t="inlineStr">
        <is>
          <t>Period</t>
        </is>
      </c>
      <c r="B2" s="13" t="inlineStr">
        <is>
          <t>2026-05-01 to 2026-05-31</t>
        </is>
      </c>
    </row>
    <row r="3"/>
    <row r="4">
      <c r="A4" s="3" t="inlineStr">
        <is>
          <t>How to use: type your own numbers into the shaded gold cells. Every grey result cell recalculates automatically.</t>
        </is>
      </c>
    </row>
    <row r="5"/>
    <row r="6">
      <c r="A6" s="5" t="inlineStr">
        <is>
          <t>Your inputs</t>
        </is>
      </c>
    </row>
    <row r="7">
      <c r="A7" s="7" t="inlineStr">
        <is>
          <t>Starting cash</t>
        </is>
      </c>
      <c r="B7" s="14">
        <v>268000</v>
      </c>
    </row>
    <row r="8">
      <c r="A8" s="7" t="inlineStr">
        <is>
          <t>Cash floor to stay above</t>
        </is>
      </c>
      <c r="B8" s="14">
        <v>67000</v>
      </c>
    </row>
    <row r="9"/>
    <row r="10">
      <c r="A10" s="5" t="inlineStr">
        <is>
          <t>13-week plan (edit any week's money in and out)</t>
        </is>
      </c>
    </row>
    <row r="11">
      <c r="A11" s="6" t="inlineStr">
        <is>
          <t>Week</t>
        </is>
      </c>
      <c r="B11" s="6" t="inlineStr">
        <is>
          <t>Money in</t>
        </is>
      </c>
      <c r="C11" s="6" t="inlineStr">
        <is>
          <t>Money out</t>
        </is>
      </c>
      <c r="D11" s="6" t="inlineStr">
        <is>
          <t>Ending cash</t>
        </is>
      </c>
    </row>
    <row r="12">
      <c r="A12" s="7" t="inlineStr">
        <is>
          <t>Week 1</t>
        </is>
      </c>
      <c r="B12" s="14">
        <v>22493</v>
      </c>
      <c r="C12" s="14">
        <v>16777</v>
      </c>
      <c r="D12" s="8">
        <f>$B$7+B12-C12</f>
        <v>273716</v>
      </c>
    </row>
    <row r="13">
      <c r="A13" s="7" t="inlineStr">
        <is>
          <t>Week 2</t>
        </is>
      </c>
      <c r="B13" s="14">
        <v>22493</v>
      </c>
      <c r="C13" s="14">
        <v>16777</v>
      </c>
      <c r="D13" s="8">
        <f>D12+B13-C13</f>
        <v>279432</v>
      </c>
    </row>
    <row r="14">
      <c r="A14" s="7" t="inlineStr">
        <is>
          <t>Week 3</t>
        </is>
      </c>
      <c r="B14" s="14">
        <v>22493</v>
      </c>
      <c r="C14" s="14">
        <v>16777</v>
      </c>
      <c r="D14" s="8">
        <f>D13+B14-C14</f>
        <v>285148</v>
      </c>
    </row>
    <row r="15">
      <c r="A15" s="7" t="inlineStr">
        <is>
          <t>Week 4</t>
        </is>
      </c>
      <c r="B15" s="14">
        <v>22493</v>
      </c>
      <c r="C15" s="14">
        <v>16777</v>
      </c>
      <c r="D15" s="8">
        <f>D14+B15-C15</f>
        <v>290864</v>
      </c>
    </row>
    <row r="16">
      <c r="A16" s="7" t="inlineStr">
        <is>
          <t>Week 5</t>
        </is>
      </c>
      <c r="B16" s="14">
        <v>22493</v>
      </c>
      <c r="C16" s="14">
        <v>16777</v>
      </c>
      <c r="D16" s="8">
        <f>D15+B16-C16</f>
        <v>296580</v>
      </c>
    </row>
    <row r="17">
      <c r="A17" s="7" t="inlineStr">
        <is>
          <t>Week 6</t>
        </is>
      </c>
      <c r="B17" s="14">
        <v>22493</v>
      </c>
      <c r="C17" s="14">
        <v>16777</v>
      </c>
      <c r="D17" s="8">
        <f>D16+B17-C17</f>
        <v>302296</v>
      </c>
    </row>
    <row r="18">
      <c r="A18" s="7" t="inlineStr">
        <is>
          <t>Week 7</t>
        </is>
      </c>
      <c r="B18" s="14">
        <v>22493</v>
      </c>
      <c r="C18" s="14">
        <v>16777</v>
      </c>
      <c r="D18" s="8">
        <f>D17+B18-C18</f>
        <v>308012</v>
      </c>
    </row>
    <row r="19">
      <c r="A19" s="7" t="inlineStr">
        <is>
          <t>Week 8</t>
        </is>
      </c>
      <c r="B19" s="14">
        <v>22493</v>
      </c>
      <c r="C19" s="14">
        <v>16777</v>
      </c>
      <c r="D19" s="8">
        <f>D18+B19-C19</f>
        <v>313728</v>
      </c>
    </row>
    <row r="20">
      <c r="A20" s="7" t="inlineStr">
        <is>
          <t>Week 9</t>
        </is>
      </c>
      <c r="B20" s="14">
        <v>22493</v>
      </c>
      <c r="C20" s="14">
        <v>16777</v>
      </c>
      <c r="D20" s="8">
        <f>D19+B20-C20</f>
        <v>319444</v>
      </c>
    </row>
    <row r="21">
      <c r="A21" s="7" t="inlineStr">
        <is>
          <t>Week 10</t>
        </is>
      </c>
      <c r="B21" s="14">
        <v>22493</v>
      </c>
      <c r="C21" s="14">
        <v>16777</v>
      </c>
      <c r="D21" s="8">
        <f>D20+B21-C21</f>
        <v>325160</v>
      </c>
    </row>
    <row r="22">
      <c r="A22" s="7" t="inlineStr">
        <is>
          <t>Week 11</t>
        </is>
      </c>
      <c r="B22" s="14">
        <v>22493</v>
      </c>
      <c r="C22" s="14">
        <v>16777</v>
      </c>
      <c r="D22" s="8">
        <f>D21+B22-C22</f>
        <v>330876</v>
      </c>
    </row>
    <row r="23">
      <c r="A23" s="7" t="inlineStr">
        <is>
          <t>Week 12</t>
        </is>
      </c>
      <c r="B23" s="14">
        <v>22493</v>
      </c>
      <c r="C23" s="14">
        <v>16777</v>
      </c>
      <c r="D23" s="8">
        <f>D22+B23-C23</f>
        <v>336592</v>
      </c>
    </row>
    <row r="24">
      <c r="A24" s="7" t="inlineStr">
        <is>
          <t>Week 13</t>
        </is>
      </c>
      <c r="B24" s="14">
        <v>22493</v>
      </c>
      <c r="C24" s="14">
        <v>16777</v>
      </c>
      <c r="D24" s="8">
        <f>D23+B24-C24</f>
        <v>342308</v>
      </c>
    </row>
    <row r="25"/>
    <row r="26">
      <c r="A26" s="5" t="inlineStr">
        <is>
          <t>Watch for the crunch</t>
        </is>
      </c>
    </row>
    <row r="27">
      <c r="A27" s="7" t="inlineStr">
        <is>
          <t>Lowest weekly cash</t>
        </is>
      </c>
      <c r="B27" s="8">
        <f>MIN(D12:D24)</f>
        <v>273716</v>
      </c>
    </row>
    <row r="28">
      <c r="A28" s="7" t="inlineStr">
        <is>
          <t>Weeks ending below your floor</t>
        </is>
      </c>
      <c r="B28" s="12">
        <f>COUNTIF(D12:D24,"&lt;"&amp;$B$8)</f>
        <v>0</v>
      </c>
    </row>
    <row r="29"/>
    <row r="30">
      <c r="A30" s="13" t="str">
        <f>IF(MIN(D12:D24)&lt;0,"Cash goes negative in this window - line up funding or slow outflows",IF(MIN(D12:D24)&lt;$B$8,"Cash dips below your floor - watch the tightest week","Cash stays above your floor across all 13 weeks"))</f>
        <v>Cash stays above your floor across all 13 weeks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0" customWidth="1"/>
    <col min="2" max="2" width="18" customWidth="1"/>
    <col min="3" max="3" width="16" customWidth="1"/>
  </cols>
  <sheetData>
    <row r="1">
      <c r="A1" s="1" t="inlineStr">
        <is>
          <t>GOLDFIN DESK</t>
        </is>
      </c>
      <c r="B1" s="4" t="inlineStr">
        <is>
          <t>Cash-Basis P&amp;L Review</t>
        </is>
      </c>
    </row>
    <row r="2">
      <c r="A2" s="3" t="inlineStr">
        <is>
          <t>Period</t>
        </is>
      </c>
      <c r="B2" s="13" t="inlineStr">
        <is>
          <t>2026-05-01 to 2026-05-31</t>
        </is>
      </c>
    </row>
    <row r="3"/>
    <row r="4">
      <c r="A4" s="3" t="inlineStr">
        <is>
          <t>How to use: type your own numbers into the shaded gold cells. Every grey result cell recalculates automatically.</t>
        </is>
      </c>
    </row>
    <row r="5"/>
    <row r="6">
      <c r="A6" s="5" t="inlineStr">
        <is>
          <t>Revenue &amp; assumptions</t>
        </is>
      </c>
    </row>
    <row r="7">
      <c r="A7" s="7" t="inlineStr">
        <is>
          <t>Revenue (deposits / money in)</t>
        </is>
      </c>
      <c r="B7" s="14">
        <v>96400</v>
      </c>
    </row>
    <row r="8">
      <c r="A8" s="7" t="inlineStr">
        <is>
          <t>Tax reserve rate (%)</t>
        </is>
      </c>
      <c r="B8" s="16">
        <v>15</v>
      </c>
    </row>
    <row r="9"/>
    <row r="10">
      <c r="A10" s="5" t="inlineStr">
        <is>
          <t>Where the money went (edit these)</t>
        </is>
      </c>
    </row>
    <row r="11">
      <c r="A11" s="6" t="inlineStr">
        <is>
          <t>Item</t>
        </is>
      </c>
      <c r="B11" s="6" t="inlineStr">
        <is>
          <t>Amount</t>
        </is>
      </c>
      <c r="C11" s="6" t="inlineStr">
        <is>
          <t>% of revenue</t>
        </is>
      </c>
    </row>
    <row r="12">
      <c r="A12" s="7" t="inlineStr">
        <is>
          <t>Materials / cost of goods</t>
        </is>
      </c>
      <c r="B12" s="14">
        <v>15000</v>
      </c>
      <c r="C12" s="10">
        <f>IF($B$7=0,0,B12/$B$7*100)</f>
        <v>15.56</v>
      </c>
    </row>
    <row r="13">
      <c r="A13" s="7" t="inlineStr">
        <is>
          <t>Payroll &amp; contractors</t>
        </is>
      </c>
      <c r="B13" s="14">
        <v>30000</v>
      </c>
      <c r="C13" s="10">
        <f>IF($B$7=0,0,B13/$B$7*100)</f>
        <v>31.12</v>
      </c>
    </row>
    <row r="14">
      <c r="A14" s="7" t="inlineStr">
        <is>
          <t>Rent &amp; utilities</t>
        </is>
      </c>
      <c r="B14" s="14">
        <v>6000</v>
      </c>
      <c r="C14" s="10">
        <f>IF($B$7=0,0,B14/$B$7*100)</f>
        <v>6.22</v>
      </c>
    </row>
    <row r="15">
      <c r="A15" s="7" t="inlineStr">
        <is>
          <t>Software &amp; subscriptions</t>
        </is>
      </c>
      <c r="B15" s="14">
        <v>4500</v>
      </c>
      <c r="C15" s="10">
        <f>IF($B$7=0,0,B15/$B$7*100)</f>
        <v>4.67</v>
      </c>
    </row>
    <row r="16">
      <c r="A16" s="7" t="inlineStr">
        <is>
          <t>Marketing &amp; sales</t>
        </is>
      </c>
      <c r="B16" s="14">
        <v>5400</v>
      </c>
      <c r="C16" s="10">
        <f>IF($B$7=0,0,B16/$B$7*100)</f>
        <v>5.6</v>
      </c>
    </row>
    <row r="17">
      <c r="A17" s="7" t="inlineStr">
        <is>
          <t>Owner pay</t>
        </is>
      </c>
      <c r="B17" s="14">
        <v>8000</v>
      </c>
      <c r="C17" s="10">
        <f>IF($B$7=0,0,B17/$B$7*100)</f>
        <v>8.3</v>
      </c>
    </row>
    <row r="18">
      <c r="A18" s="7" t="inlineStr">
        <is>
          <t>Other</t>
        </is>
      </c>
      <c r="B18" s="14">
        <v>3000</v>
      </c>
      <c r="C18" s="10">
        <f>IF($B$7=0,0,B18/$B$7*100)</f>
        <v>3.11</v>
      </c>
    </row>
    <row r="19">
      <c r="A19" s="7" t="inlineStr">
        <is>
          <t>Total spending</t>
        </is>
      </c>
      <c r="B19" s="9">
        <f>SUM(B12:B18)</f>
        <v>71900</v>
      </c>
      <c r="C19" s="10">
        <f>IF($B$7=0,0,B19/$B$7*100)</f>
        <v>74.59</v>
      </c>
    </row>
    <row r="20"/>
    <row r="21">
      <c r="A21" s="5" t="inlineStr">
        <is>
          <t>Profit</t>
        </is>
      </c>
    </row>
    <row r="22">
      <c r="A22" s="7" t="inlineStr">
        <is>
          <t>Operating profit</t>
        </is>
      </c>
      <c r="B22" s="9">
        <f>$B$7-B19</f>
        <v>24500</v>
      </c>
    </row>
    <row r="23">
      <c r="A23" s="7" t="inlineStr">
        <is>
          <t>Profit margin</t>
        </is>
      </c>
      <c r="B23" s="10">
        <f>IF($B$7=0,0,($B$7-B19)/$B$7*100)</f>
        <v>25.41</v>
      </c>
    </row>
    <row r="24">
      <c r="A24" s="7" t="inlineStr">
        <is>
          <t>Tax reserve target</t>
        </is>
      </c>
      <c r="B24" s="8">
        <f>($B$7-B19)*$B$8/100</f>
        <v>3675</v>
      </c>
    </row>
    <row r="25">
      <c r="A25" s="7" t="inlineStr">
        <is>
          <t>Cash left after tax reserve</t>
        </is>
      </c>
      <c r="B25" s="9">
        <f>($B$7-B19)-($B$7-B19)*$B$8/100</f>
        <v>20825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4" customWidth="1"/>
    <col min="2" max="2" width="14" customWidth="1"/>
    <col min="3" max="3" width="14" customWidth="1"/>
    <col min="4" max="4" width="14" customWidth="1"/>
    <col min="5" max="5" width="20" customWidth="1"/>
  </cols>
  <sheetData>
    <row r="1">
      <c r="A1" s="1" t="inlineStr">
        <is>
          <t>GOLDFIN DESK</t>
        </is>
      </c>
      <c r="B1" s="4" t="inlineStr">
        <is>
          <t>Expense &amp; Vendor Audit</t>
        </is>
      </c>
    </row>
    <row r="2">
      <c r="A2" s="3" t="inlineStr">
        <is>
          <t>Period</t>
        </is>
      </c>
      <c r="B2" s="13" t="inlineStr">
        <is>
          <t>2026-05-01 to 2026-05-31</t>
        </is>
      </c>
    </row>
    <row r="3"/>
    <row r="4">
      <c r="A4" s="3" t="inlineStr">
        <is>
          <t>List each recurring vendor, its monthly cost, and whether to Keep, Review, or Cut it. Totals and savings update as you edit.</t>
        </is>
      </c>
    </row>
    <row r="5"/>
    <row r="6">
      <c r="A6" s="5" t="inlineStr">
        <is>
          <t>Recurring vendors (edit these)</t>
        </is>
      </c>
    </row>
    <row r="7">
      <c r="A7" s="6" t="inlineStr">
        <is>
          <t>Vendor</t>
        </is>
      </c>
      <c r="B7" s="6" t="inlineStr">
        <is>
          <t>Monthly</t>
        </is>
      </c>
      <c r="C7" s="6" t="inlineStr">
        <is>
          <t>Annual</t>
        </is>
      </c>
      <c r="D7" s="6" t="inlineStr">
        <is>
          <t>% of total</t>
        </is>
      </c>
      <c r="E7" s="6" t="inlineStr">
        <is>
          <t>Keep / Review / Cut</t>
        </is>
      </c>
    </row>
    <row r="8">
      <c r="A8" s="14" t="inlineStr">
        <is>
          <t>Unused SaaS seat</t>
        </is>
      </c>
      <c r="B8" s="14">
        <v>49</v>
      </c>
      <c r="C8" s="8">
        <f>B8*12</f>
        <v>588</v>
      </c>
      <c r="D8" s="10">
        <f>IF($B$14=0,0,B8/$B$14*100)</f>
        <v>10.02</v>
      </c>
      <c r="E8" s="14" t="inlineStr">
        <is>
          <t>Cut</t>
        </is>
      </c>
    </row>
    <row r="9">
      <c r="A9" s="14" t="inlineStr">
        <is>
          <t>Old design tool</t>
        </is>
      </c>
      <c r="B9" s="14">
        <v>30</v>
      </c>
      <c r="C9" s="8">
        <f>B9*12</f>
        <v>360</v>
      </c>
      <c r="D9" s="10">
        <f>IF($B$14=0,0,B9/$B$14*100)</f>
        <v>6.13</v>
      </c>
      <c r="E9" s="14" t="inlineStr">
        <is>
          <t>Cut</t>
        </is>
      </c>
    </row>
    <row r="10">
      <c r="A10" s="14" t="inlineStr">
        <is>
          <t>Cloud hosting</t>
        </is>
      </c>
      <c r="B10" s="14">
        <v>410</v>
      </c>
      <c r="C10" s="8">
        <f>B10*12</f>
        <v>4920</v>
      </c>
      <c r="D10" s="10">
        <f>IF($B$14=0,0,B10/$B$14*100)</f>
        <v>83.84</v>
      </c>
      <c r="E10" s="14" t="inlineStr">
        <is>
          <t>Keep</t>
        </is>
      </c>
    </row>
    <row r="11">
      <c r="A11" s="14" t="inlineStr">
        <is>
          <t>(add a vendor)</t>
        </is>
      </c>
      <c r="B11" s="14">
        <v>0</v>
      </c>
      <c r="C11" s="8">
        <f>B11*12</f>
        <v>0</v>
      </c>
      <c r="D11" s="10">
        <f>IF($B$14=0,0,B11/$B$14*100)</f>
        <v>0</v>
      </c>
      <c r="E11" s="14" t="inlineStr">
        <is>
          <t/>
        </is>
      </c>
    </row>
    <row r="12">
      <c r="A12" s="14" t="inlineStr">
        <is>
          <t>(add a vendor)</t>
        </is>
      </c>
      <c r="B12" s="14">
        <v>0</v>
      </c>
      <c r="C12" s="8">
        <f>B12*12</f>
        <v>0</v>
      </c>
      <c r="D12" s="10">
        <f>IF($B$14=0,0,B12/$B$14*100)</f>
        <v>0</v>
      </c>
      <c r="E12" s="14" t="inlineStr">
        <is>
          <t/>
        </is>
      </c>
    </row>
    <row r="13">
      <c r="A13" s="14" t="inlineStr">
        <is>
          <t>(add a vendor)</t>
        </is>
      </c>
      <c r="B13" s="14">
        <v>0</v>
      </c>
      <c r="C13" s="8">
        <f>B13*12</f>
        <v>0</v>
      </c>
      <c r="D13" s="10">
        <f>IF($B$14=0,0,B13/$B$14*100)</f>
        <v>0</v>
      </c>
      <c r="E13" s="14" t="inlineStr">
        <is>
          <t/>
        </is>
      </c>
    </row>
    <row r="14">
      <c r="A14" s="7" t="inlineStr">
        <is>
          <t>Total</t>
        </is>
      </c>
      <c r="B14" s="9">
        <f>SUM(B8:B13)</f>
        <v>489</v>
      </c>
      <c r="C14" s="8">
        <f>SUM(C8:C13)</f>
        <v>5868</v>
      </c>
    </row>
    <row r="15"/>
    <row r="16">
      <c r="A16" s="5" t="inlineStr">
        <is>
          <t>Your savings opportunity</t>
        </is>
      </c>
    </row>
    <row r="17">
      <c r="A17" s="7" t="inlineStr">
        <is>
          <t>Monthly cost of vendors marked Cut</t>
        </is>
      </c>
      <c r="B17" s="8">
        <f>SUMIF(E8:E13,"Cut",B8:B13)</f>
        <v>79</v>
      </c>
    </row>
    <row r="18">
      <c r="A18" s="7" t="inlineStr">
        <is>
          <t>Annual savings if you cut them</t>
        </is>
      </c>
      <c r="B18" s="8">
        <f>SUMIF(E8:E13,"Cut",C8:C13)</f>
        <v>948</v>
      </c>
    </row>
    <row r="19"/>
    <row r="20">
      <c r="A20" s="13" t="str">
        <f>IF(SUMIF(E8:E13,"Cut",C8:C13)&gt;0,"Cutting the vendors you marked Cut saves the annual amount above","Mark any vendor Cut to see the annual savings")</f>
        <v>Cutting the vendors you marked Cut saves the annual amount above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0" customWidth="1"/>
    <col min="2" max="2" width="90" customWidth="1"/>
  </cols>
  <sheetData>
    <row r="1">
      <c r="A1" s="1" t="inlineStr">
        <is>
          <t>GOLDFIN DESK</t>
        </is>
      </c>
      <c r="B1" s="4" t="inlineStr">
        <is>
          <t>About this workbook</t>
        </is>
      </c>
    </row>
    <row r="2"/>
    <row r="3">
      <c r="A3" s="7" t="inlineStr">
        <is>
          <t>Shaded gold cells</t>
        </is>
      </c>
      <c r="B3" s="13" t="inlineStr">
        <is>
          <t>Your inputs. Type over the sample numbers with your own.</t>
        </is>
      </c>
    </row>
    <row r="4">
      <c r="A4" s="7" t="inlineStr">
        <is>
          <t>Grey result cells</t>
        </is>
      </c>
      <c r="B4" s="13" t="inlineStr">
        <is>
          <t>Formulas that recalculate automatically from your inputs.</t>
        </is>
      </c>
    </row>
    <row r="5">
      <c r="A5" s="7" t="inlineStr">
        <is>
          <t>Self-contained</t>
        </is>
      </c>
      <c r="B5" s="13" t="inlineStr">
        <is>
          <t>Everything computes from the numbers you enter - no bank connection needed.</t>
        </is>
      </c>
    </row>
    <row r="6">
      <c r="A6" s="7" t="inlineStr">
        <is>
          <t>Not advice</t>
        </is>
      </c>
      <c r="B6" s="13" t="inlineStr">
        <is>
          <t>A planning aid, not tax, accounting, credit, legal, or investment advice.</t>
        </is>
      </c>
    </row>
    <row r="7">
      <c r="A7" s="7" t="inlineStr">
        <is>
          <t>Done for you</t>
        </is>
      </c>
      <c r="B7" s="13" t="inlineStr">
        <is>
          <t>GoldFin Reports fills these from your real bank activity every month, with a plain-English briefing. See goldfindesk.com/pricing.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GoldFin Desk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GoldFin Desk Template Vault</dc:title>
  <dc:creator>GoldFin Desk</dc:creator>
  <cp:lastModifiedBy>GoldFin Desk</cp:lastModifiedBy>
  <dcterms:created xsi:type="dcterms:W3CDTF">2026-07-10T00:00:00Z</dcterms:created>
  <dcterms:modified xsi:type="dcterms:W3CDTF">2026-07-10T00:00:00Z</dcterms:modified>
</cp:coreProperties>
</file>